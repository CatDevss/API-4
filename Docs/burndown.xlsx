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F0A3CD55-E70E-463C-A358-FE286C3FE10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Burndown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4" i="1"/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<sst xmlns="http://schemas.openxmlformats.org/spreadsheetml/2006/main" count="27" uniqueCount="27">
  <si>
    <t>Burndown (13 a 27 de setembro)</t>
  </si>
  <si>
    <t>Total de itens no início</t>
  </si>
  <si>
    <t>Dias do período</t>
  </si>
  <si>
    <t>Data</t>
  </si>
  <si>
    <t>Dia (n)</t>
  </si>
  <si>
    <t>Previsão (ideal)</t>
  </si>
  <si>
    <t>Real (em aberto)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</si>
  <si>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</si>
  <si>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</si>
  <si>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</si>
  <si>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</si>
  <si>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</si>
  <si>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</si>
  <si>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</si>
  <si>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</si>
  <si>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</si>
  <si>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</si>
  <si>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</si>
  <si>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</si>
  <si>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</si>
  <si>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</si>
  <si>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</si>
  <si>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Notas</t>
  </si>
  <si>
    <t>Azul = valor digitado (entrada). Preto = fórmula.</t>
  </si>
  <si>
    <t>Previsão (ideal): linha reta de 112 itens em 13/09 até 0 em 27/09 (112 ÷ 14 dias = 8 itens/dia). Muda sozinha se você alterar B3.</t>
  </si>
  <si>
    <t>Real: valores lidos dos rótulos do gráfico de burndown do GitHub Insights (print enviado pela equipe).</t>
  </si>
  <si>
    <t>Em 27/09, os 45 itens restantes viram 0: 25 concluídos (67 → 92) e 20 fechados como 'not planned' (descartados).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</si>
</sst>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FDE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9E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Burndown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Burndown!C7</c:f>
              <c:strCache>
                <c:ptCount val="1"/>
                <c:pt idx="0">
                  <c:v>Previsão (ideal)</c:v>
                </c:pt>
              </c:strCache>
            </c:strRef>
          </c:tx>
          <c:spPr>
            <a:ln w="28440">
              <a:solidFill>
                <a:srgbClr val="2F6FD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Burndown!$A$8:$A$22</c:f>
              <c:strCache>
                <c:ptCount val="15"/>
                <c:pt idx="0">
                  <c:v>13/09</c:v>
                </c:pt>
                <c:pt idx="1">
                  <c:v>14/09</c:v>
                </c:pt>
                <c:pt idx="2">
                  <c:v>15/09</c:v>
                </c:pt>
                <c:pt idx="3">
                  <c:v>16/09</c:v>
                </c:pt>
                <c:pt idx="4">
                  <c:v>17/09</c:v>
                </c:pt>
                <c:pt idx="5">
                  <c:v>18/09</c:v>
                </c:pt>
                <c:pt idx="6">
                  <c:v>19/09</c:v>
                </c:pt>
                <c:pt idx="7">
                  <c:v>20/09</c:v>
                </c:pt>
                <c:pt idx="8">
                  <c:v>21/09</c:v>
                </c:pt>
                <c:pt idx="9">
                  <c:v>22/09</c:v>
                </c:pt>
                <c:pt idx="10">
                  <c:v>23/09</c:v>
                </c:pt>
                <c:pt idx="11">
                  <c:v>24/09</c:v>
                </c:pt>
                <c:pt idx="12">
                  <c:v>25/09</c:v>
                </c:pt>
                <c:pt idx="13">
                  <c:v>26/09</c:v>
                </c:pt>
                <c:pt idx="14">
                  <c:v>27/09</c:v>
                </c:pt>
              </c:strCache>
            </c:strRef>
          </c:cat>
          <c:val>
            <c:numRef>
              <c:f>Burndown!$C$8:$C$22</c:f>
              <c:numCache>
                <c:formatCode>0</c:formatCode>
                <c:ptCount val="15"/>
                <c:pt idx="0">
                  <c:v>112</c:v>
                </c:pt>
                <c:pt idx="1">
                  <c:v>104</c:v>
                </c:pt>
                <c:pt idx="2">
                  <c:v>96</c:v>
                </c:pt>
                <c:pt idx="3">
                  <c:v>88</c:v>
                </c:pt>
                <c:pt idx="4">
                  <c:v>80</c:v>
                </c:pt>
                <c:pt idx="5">
                  <c:v>72</c:v>
                </c:pt>
                <c:pt idx="6">
                  <c:v>64</c:v>
                </c:pt>
                <c:pt idx="7">
                  <c:v>56</c:v>
                </c:pt>
                <c:pt idx="8">
                  <c:v>48</c:v>
                </c:pt>
                <c:pt idx="9">
                  <c:v>40</c:v>
                </c:pt>
                <c:pt idx="10">
                  <c:v>32</c:v>
                </c:pt>
                <c:pt idx="11">
                  <c:v>24</c:v>
                </c:pt>
                <c:pt idx="12">
                  <c:v>16</c:v>
                </c:pt>
                <c:pt idx="13">
                  <c:v>8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3-4DD3-A6C8-214700537189}"/>
            </c:ext>
          </c:extLst>
        </c:ser>
        <c:ser>
          <c:idx val="1"/>
          <c:order val="1"/>
          <c:tx>
            <c:strRef>
              <c:f>Burndown!D7</c:f>
              <c:strCache>
                <c:ptCount val="1"/>
                <c:pt idx="0">
                  <c:v>Real (em aberto)</c:v>
                </c:pt>
              </c:strCache>
            </c:strRef>
          </c:tx>
          <c:spPr>
            <a:ln w="28440">
              <a:solidFill>
                <a:srgbClr val="2E9E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Burndown!$A$8:$A$22</c:f>
              <c:strCache>
                <c:ptCount val="15"/>
                <c:pt idx="0">
                  <c:v>13/09</c:v>
                </c:pt>
                <c:pt idx="1">
                  <c:v>14/09</c:v>
                </c:pt>
                <c:pt idx="2">
                  <c:v>15/09</c:v>
                </c:pt>
                <c:pt idx="3">
                  <c:v>16/09</c:v>
                </c:pt>
                <c:pt idx="4">
                  <c:v>17/09</c:v>
                </c:pt>
                <c:pt idx="5">
                  <c:v>18/09</c:v>
                </c:pt>
                <c:pt idx="6">
                  <c:v>19/09</c:v>
                </c:pt>
                <c:pt idx="7">
                  <c:v>20/09</c:v>
                </c:pt>
                <c:pt idx="8">
                  <c:v>21/09</c:v>
                </c:pt>
                <c:pt idx="9">
                  <c:v>22/09</c:v>
                </c:pt>
                <c:pt idx="10">
                  <c:v>23/09</c:v>
                </c:pt>
                <c:pt idx="11">
                  <c:v>24/09</c:v>
                </c:pt>
                <c:pt idx="12">
                  <c:v>25/09</c:v>
                </c:pt>
                <c:pt idx="13">
                  <c:v>26/09</c:v>
                </c:pt>
                <c:pt idx="14">
                  <c:v>27/09</c:v>
                </c:pt>
              </c:strCache>
            </c:strRef>
          </c:cat>
          <c:val>
            <c:numRef>
              <c:f>Burndown!$D$8:$D$22</c:f>
              <c:numCache>
                <c:formatCode>General</c:formatCode>
                <c:ptCount val="15"/>
                <c:pt idx="0">
                  <c:v>112</c:v>
                </c:pt>
                <c:pt idx="1">
                  <c:v>112</c:v>
                </c:pt>
                <c:pt idx="2">
                  <c:v>112</c:v>
                </c:pt>
                <c:pt idx="3">
                  <c:v>112</c:v>
                </c:pt>
                <c:pt idx="4">
                  <c:v>112</c:v>
                </c:pt>
                <c:pt idx="5">
                  <c:v>112</c:v>
                </c:pt>
                <c:pt idx="6">
                  <c:v>108</c:v>
                </c:pt>
                <c:pt idx="7">
                  <c:v>101</c:v>
                </c:pt>
                <c:pt idx="8">
                  <c:v>92</c:v>
                </c:pt>
                <c:pt idx="9">
                  <c:v>80</c:v>
                </c:pt>
                <c:pt idx="10">
                  <c:v>72</c:v>
                </c:pt>
                <c:pt idx="11">
                  <c:v>62</c:v>
                </c:pt>
                <c:pt idx="12">
                  <c:v>62</c:v>
                </c:pt>
                <c:pt idx="13">
                  <c:v>45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3-4DD3-A6C8-214700537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390722"/>
        <c:axId val="30354178"/>
      </c:lineChart>
      <c:catAx>
        <c:axId val="103907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54178"/>
        <c:crosses val="autoZero"/>
        <c:auto val="1"/>
        <c:lblAlgn val="ctr"/>
        <c:lblOffset val="100"/>
        <c:noMultiLvlLbl val="0"/>
      </c:catAx>
      <c:valAx>
        <c:axId val="30354178"/>
        <c:scaling>
          <c:orientation val="minMax"/>
          <c:max val="1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Itens em aberto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907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16</xdr:col>
      <xdr:colOff>473040</xdr:colOff>
      <xdr:row>19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Normal="100" workbookViewId="0">
      <selection activeCell="A2" sqref="A2"/>
    </sheetView>
  </sheetViews>
  <sheetFormatPr defaultColWidth="8.7109375" defaultRowHeight="15"/>
  <cols>
    <col min="1" max="1" width="26" customWidth="1"/>
    <col min="2" max="2" width="12" customWidth="1"/>
    <col min="3" max="4" width="18" customWidth="1"/>
  </cols>
  <sheetData>
    <row r="1" spans="1:4" ht="17.45">
      <c r="A1" s="1" t="s">
        <v>0</v>
      </c>
    </row>
    <row r="3" spans="1:4">
      <c r="A3" s="2" t="s">
        <v>1</v>
      </c>
      <c r="B3" s="3">
        <v>112</v>
      </c>
    </row>
    <row r="4" spans="1:4">
      <c r="A4" s="2" t="s">
        <v>2</v>
      </c>
      <c r="B4" s="4">
        <f>COUNTA(A8:A22)-1</f>
        <v>14</v>
      </c>
    </row>
    <row r="7" spans="1:4">
      <c r="A7" s="5" t="s">
        <v>3</v>
      </c>
      <c r="B7" s="5" t="s">
        <v>4</v>
      </c>
      <c r="C7" s="5" t="s">
        <v>5</v>
      </c>
      <c r="D7" s="5" t="s">
        <v>6</v>
      </c>
    </row>
    <row r="8" spans="1:4">
      <c r="A8" s="6" t="s">
        <v>7</v>
      </c>
      <c r="B8" s="7">
        <v>0</v>
      </c>
      <c r="C8" s="8">
        <f>$B$3-$B$3/$B$4*B8</f>
        <v>112</v>
      </c>
      <c r="D8" s="7">
        <v>112</v>
      </c>
    </row>
    <row r="9" spans="1:4">
      <c r="A9" s="6" t="s">
        <v>8</v>
      </c>
      <c r="B9" s="6">
        <f>B8+1</f>
        <v>1</v>
      </c>
      <c r="C9" s="8">
        <f>$B$3-$B$3/$B$4*B9</f>
        <v>104</v>
      </c>
      <c r="D9" s="7">
        <v>112</v>
      </c>
    </row>
    <row r="10" spans="1:4">
      <c r="A10" s="6" t="s">
        <v>9</v>
      </c>
      <c r="B10" s="6">
        <f>B9+1</f>
        <v>2</v>
      </c>
      <c r="C10" s="8">
        <f>$B$3-$B$3/$B$4*B10</f>
        <v>96</v>
      </c>
      <c r="D10" s="7">
        <v>112</v>
      </c>
    </row>
    <row r="11" spans="1:4">
      <c r="A11" s="6" t="s">
        <v>10</v>
      </c>
      <c r="B11" s="6">
        <f>B10+1</f>
        <v>3</v>
      </c>
      <c r="C11" s="8">
        <f>$B$3-$B$3/$B$4*B11</f>
        <v>88</v>
      </c>
      <c r="D11" s="7">
        <v>112</v>
      </c>
    </row>
    <row r="12" spans="1:4">
      <c r="A12" s="6" t="s">
        <v>11</v>
      </c>
      <c r="B12" s="6">
        <f>B11+1</f>
        <v>4</v>
      </c>
      <c r="C12" s="8">
        <f>$B$3-$B$3/$B$4*B12</f>
        <v>80</v>
      </c>
      <c r="D12" s="7">
        <v>112</v>
      </c>
    </row>
    <row r="13" spans="1:4">
      <c r="A13" s="6" t="s">
        <v>12</v>
      </c>
      <c r="B13" s="6">
        <f>B12+1</f>
        <v>5</v>
      </c>
      <c r="C13" s="8">
        <f>$B$3-$B$3/$B$4*B13</f>
        <v>72</v>
      </c>
      <c r="D13" s="7">
        <v>112</v>
      </c>
    </row>
    <row r="14" spans="1:4">
      <c r="A14" s="6" t="s">
        <v>13</v>
      </c>
      <c r="B14" s="6">
        <f>B13+1</f>
        <v>6</v>
      </c>
      <c r="C14" s="8">
        <f>$B$3-$B$3/$B$4*B14</f>
        <v>64</v>
      </c>
      <c r="D14" s="7">
        <v>108</v>
      </c>
    </row>
    <row r="15" spans="1:4">
      <c r="A15" s="6" t="s">
        <v>14</v>
      </c>
      <c r="B15" s="6">
        <f>B14+1</f>
        <v>7</v>
      </c>
      <c r="C15" s="8">
        <f>$B$3-$B$3/$B$4*B15</f>
        <v>56</v>
      </c>
      <c r="D15" s="7">
        <v>101</v>
      </c>
    </row>
    <row r="16" spans="1:4">
      <c r="A16" s="6" t="s">
        <v>15</v>
      </c>
      <c r="B16" s="6">
        <f>B15+1</f>
        <v>8</v>
      </c>
      <c r="C16" s="8">
        <f>$B$3-$B$3/$B$4*B16</f>
        <v>48</v>
      </c>
      <c r="D16" s="7">
        <v>92</v>
      </c>
    </row>
    <row r="17" spans="1:4">
      <c r="A17" s="6" t="s">
        <v>16</v>
      </c>
      <c r="B17" s="6">
        <f>B16+1</f>
        <v>9</v>
      </c>
      <c r="C17" s="8">
        <f>$B$3-$B$3/$B$4*B17</f>
        <v>40</v>
      </c>
      <c r="D17" s="7">
        <v>80</v>
      </c>
    </row>
    <row r="18" spans="1:4">
      <c r="A18" s="6" t="s">
        <v>17</v>
      </c>
      <c r="B18" s="6">
        <f>B17+1</f>
        <v>10</v>
      </c>
      <c r="C18" s="8">
        <f>$B$3-$B$3/$B$4*B18</f>
        <v>32</v>
      </c>
      <c r="D18" s="7">
        <v>72</v>
      </c>
    </row>
    <row r="19" spans="1:4">
      <c r="A19" s="6" t="s">
        <v>18</v>
      </c>
      <c r="B19" s="6">
        <f>B18+1</f>
        <v>11</v>
      </c>
      <c r="C19" s="8">
        <f>$B$3-$B$3/$B$4*B19</f>
        <v>24</v>
      </c>
      <c r="D19" s="7">
        <v>62</v>
      </c>
    </row>
    <row r="20" spans="1:4">
      <c r="A20" s="6" t="s">
        <v>19</v>
      </c>
      <c r="B20" s="6">
        <f>B19+1</f>
        <v>12</v>
      </c>
      <c r="C20" s="8">
        <f>$B$3-$B$3/$B$4*B20</f>
        <v>16</v>
      </c>
      <c r="D20" s="7">
        <v>62</v>
      </c>
    </row>
    <row r="21" spans="1:4">
      <c r="A21" s="6" t="s">
        <v>20</v>
      </c>
      <c r="B21" s="6">
        <f>B20+1</f>
        <v>13</v>
      </c>
      <c r="C21" s="8">
        <f>$B$3-$B$3/$B$4*B21</f>
        <v>8</v>
      </c>
      <c r="D21" s="7">
        <v>45</v>
      </c>
    </row>
    <row r="22" spans="1:4">
      <c r="A22" s="6" t="s">
        <v>21</v>
      </c>
      <c r="B22" s="6">
        <f>B21+1</f>
        <v>14</v>
      </c>
      <c r="C22" s="8">
        <f>$B$3-$B$3/$B$4*B22</f>
        <v>0</v>
      </c>
      <c r="D22" s="7">
        <v>0</v>
      </c>
    </row>
    <row r="24" spans="1:4">
      <c r="A24" s="2" t="s">
        <v>22</v>
      </c>
    </row>
    <row r="25" spans="1:4">
      <c r="A25" s="4" t="s">
        <v>23</v>
      </c>
    </row>
    <row r="26" spans="1:4">
      <c r="A26" s="4" t="s">
        <v>24</v>
      </c>
    </row>
    <row r="27" spans="1:4">
      <c r="A27" s="4" t="s">
        <v>25</v>
      </c>
    </row>
    <row r="28" spans="1:4">
      <c r="A28" s="4" t="s">
        <v>26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2026-09-28T01:46:40Z</dcterms:created>
  <dcterms:modified xsi:type="dcterms:W3CDTF">2026-09-28T01:57:15Z</dcterms:modified>
  <cp:category/>
  <cp:contentStatus/>
</cp:coreProperties>
</file>